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X433\Downloads\"/>
    </mc:Choice>
  </mc:AlternateContent>
  <xr:revisionPtr revIDLastSave="0" documentId="13_ncr:1_{86959297-78A3-48FA-8EFE-FBCBF8918E79}" xr6:coauthVersionLast="47" xr6:coauthVersionMax="47" xr10:uidLastSave="{00000000-0000-0000-0000-000000000000}"/>
  <bookViews>
    <workbookView xWindow="28680" yWindow="-120" windowWidth="29040" windowHeight="15720" activeTab="3" xr2:uid="{59610CB2-0EAF-4667-A94D-963F7B8D951E}"/>
  </bookViews>
  <sheets>
    <sheet name="informe cartera" sheetId="1" r:id="rId1"/>
    <sheet name="Cartera objetivo" sheetId="2" r:id="rId2"/>
    <sheet name="Patrimonio actual" sheetId="3" r:id="rId3"/>
    <sheet name="Presupues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11" i="1"/>
  <c r="E17" i="2"/>
  <c r="H11" i="1"/>
  <c r="I11" i="1"/>
  <c r="F12" i="1"/>
  <c r="G3" i="1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2" i="1"/>
  <c r="D12" i="1"/>
  <c r="E4" i="1" s="1"/>
  <c r="G10" i="1" l="1"/>
  <c r="G11" i="1"/>
  <c r="E11" i="1"/>
  <c r="G8" i="1"/>
  <c r="G9" i="1"/>
  <c r="G7" i="1"/>
  <c r="G6" i="1"/>
  <c r="G5" i="1"/>
  <c r="G4" i="1"/>
  <c r="I12" i="1"/>
  <c r="G2" i="1"/>
  <c r="B5" i="3"/>
  <c r="B6" i="3" s="1"/>
  <c r="H12" i="1"/>
  <c r="E6" i="1"/>
  <c r="E10" i="1"/>
  <c r="E9" i="1"/>
  <c r="E8" i="1"/>
  <c r="E5" i="1"/>
  <c r="E7" i="1"/>
  <c r="E2" i="1"/>
  <c r="E3" i="1"/>
  <c r="D2" i="2" l="1"/>
</calcChain>
</file>

<file path=xl/sharedStrings.xml><?xml version="1.0" encoding="utf-8"?>
<sst xmlns="http://schemas.openxmlformats.org/spreadsheetml/2006/main" count="109" uniqueCount="68">
  <si>
    <t>LA FRANCAISE TRESORERIE "R" ACC</t>
  </si>
  <si>
    <t>FR0000991390</t>
  </si>
  <si>
    <t>GROUPAMA ENTREPRISES "N" (EUR) ACC FR</t>
  </si>
  <si>
    <t>FR0010288316</t>
  </si>
  <si>
    <t>DWS FLOATING RATE NOTES LC (EUR) ACC</t>
  </si>
  <si>
    <t>LU0034353002</t>
  </si>
  <si>
    <t>CANDRIAM BONDS CREDIT ALPHA "C" (EUR) ACC</t>
  </si>
  <si>
    <t>LU2098772366</t>
  </si>
  <si>
    <t>DUNAS VALOR PRUDENTE "R" (EUR) ACC</t>
  </si>
  <si>
    <t>ES0175437005</t>
  </si>
  <si>
    <t>DNCA ALPHA BONDS "A" (EUR) ACC</t>
  </si>
  <si>
    <t>LU1694789451</t>
  </si>
  <si>
    <t>DIP PARADIGMA CONSERVATIVE MULTI ASSET "A" (EUR) ACC</t>
  </si>
  <si>
    <t>LU0804746799</t>
  </si>
  <si>
    <t>CANDRIAM BONDS GLOBAL HIGH YIELD "C" ACC</t>
  </si>
  <si>
    <t>LU0170291933</t>
  </si>
  <si>
    <t>MAN GLOBAL INVESTMENT GRADE OPPORTUNITIES "DH" (EURHDG) ACC</t>
  </si>
  <si>
    <t>IE000MI53C66</t>
  </si>
  <si>
    <t>R-CO VALOR "C" (EUR) ACC</t>
  </si>
  <si>
    <t>FR0011253624</t>
  </si>
  <si>
    <t>Fondo</t>
  </si>
  <si>
    <t>ISIN</t>
  </si>
  <si>
    <t xml:space="preserve">Importe inicial </t>
  </si>
  <si>
    <t>Peso Inicial</t>
  </si>
  <si>
    <t>Importe actual</t>
  </si>
  <si>
    <t>Peso actual</t>
  </si>
  <si>
    <t>Total</t>
  </si>
  <si>
    <t>Rentabilidad %</t>
  </si>
  <si>
    <t>Rentabilidad en Euros</t>
  </si>
  <si>
    <t>Tipo de activo</t>
  </si>
  <si>
    <t>Renta fija corto plazo</t>
  </si>
  <si>
    <t>Monetario</t>
  </si>
  <si>
    <t>Renta fija IA</t>
  </si>
  <si>
    <t>Mixto flexible Conservador</t>
  </si>
  <si>
    <t>Renta fija IG</t>
  </si>
  <si>
    <t>Mixto flexible Agresivo</t>
  </si>
  <si>
    <t>Renta variable global</t>
  </si>
  <si>
    <t>Renta variable USA</t>
  </si>
  <si>
    <t>FND JANUS HH GL SMALL COMP-A2EUR</t>
  </si>
  <si>
    <t>LU1984712320</t>
  </si>
  <si>
    <t>Renta variable Europa</t>
  </si>
  <si>
    <t>Renta variable small caps</t>
  </si>
  <si>
    <t>Cuenta santander</t>
  </si>
  <si>
    <t>Cuenta Revolut</t>
  </si>
  <si>
    <t>Cuenta francia</t>
  </si>
  <si>
    <t>Cuenta de inversion</t>
  </si>
  <si>
    <t>Banco</t>
  </si>
  <si>
    <t>Importe</t>
  </si>
  <si>
    <t>Peso</t>
  </si>
  <si>
    <t>Amundi Index MSCI world</t>
  </si>
  <si>
    <t>LU0996182563</t>
  </si>
  <si>
    <t>LU0592905508</t>
  </si>
  <si>
    <t>Pictet USA index HDG</t>
  </si>
  <si>
    <t>Amundi MSCI Europe</t>
  </si>
  <si>
    <t>LU0389811885</t>
  </si>
  <si>
    <t>Renta fija HY</t>
  </si>
  <si>
    <t>Ingresos</t>
  </si>
  <si>
    <t>Gastos</t>
  </si>
  <si>
    <t>Nomina Mensual</t>
  </si>
  <si>
    <t>Paga extra Junio</t>
  </si>
  <si>
    <t>Paga Extra Diciembre</t>
  </si>
  <si>
    <t>Presupuesto mensual</t>
  </si>
  <si>
    <t>Alquiler mensual</t>
  </si>
  <si>
    <t>Gastos casa Mensual</t>
  </si>
  <si>
    <t>Crypto</t>
  </si>
  <si>
    <t>Criptomonedas</t>
  </si>
  <si>
    <t>sin isin</t>
  </si>
  <si>
    <t>Gastos anuales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</si>
</sst>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0" fontId="0" fillId="0" borderId="1" xfId="2" applyNumberFormat="1" applyFont="1" applyBorder="1"/>
    <xf numFmtId="0" fontId="2" fillId="0" borderId="1" xfId="0" applyFont="1" applyBorder="1"/>
    <xf numFmtId="164" fontId="0" fillId="0" borderId="1" xfId="0" applyNumberFormat="1" applyBorder="1"/>
    <xf numFmtId="0" fontId="2" fillId="0" borderId="2" xfId="0" applyFont="1" applyFill="1" applyBorder="1"/>
    <xf numFmtId="44" fontId="0" fillId="0" borderId="1" xfId="1" applyFont="1" applyBorder="1"/>
    <xf numFmtId="164" fontId="0" fillId="0" borderId="1" xfId="2" applyNumberFormat="1" applyFont="1" applyBorder="1"/>
    <xf numFmtId="10" fontId="0" fillId="0" borderId="1" xfId="0" applyNumberFormat="1" applyBorder="1"/>
    <xf numFmtId="0" fontId="0" fillId="0" borderId="1" xfId="0" applyFill="1" applyBorder="1"/>
    <xf numFmtId="0" fontId="0" fillId="0" borderId="3" xfId="0" applyBorder="1"/>
    <xf numFmtId="0" fontId="0" fillId="0" borderId="4" xfId="0" applyFill="1" applyBorder="1"/>
    <xf numFmtId="0" fontId="0" fillId="0" borderId="5" xfId="0" applyFill="1" applyBorder="1"/>
  </cellXfs>
  <cellStyles count="3">
    <cellStyle name="Moneda" xfId="1" builtinId="4"/>
    <cellStyle name="Normal" xfId="0" builtinId="0"/>
    <cellStyle name="Porcentaje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3D82-F7FD-4753-B5DE-B4E2F1F33D8A}">
  <dimension ref="A1:I12"/>
  <sheetViews>
    <sheetView workbookViewId="0">
      <selection activeCell="I11" sqref="I11"/>
    </sheetView>
  </sheetViews>
  <sheetFormatPr baseColWidth="10" defaultRowHeight="14.5" x14ac:dyDescent="0.35"/>
  <cols>
    <col min="1" max="1" width="61.36328125" bestFit="1" customWidth="1"/>
    <col min="2" max="2" width="13.1796875" bestFit="1" customWidth="1"/>
    <col min="3" max="3" width="24.36328125" bestFit="1" customWidth="1"/>
    <col min="4" max="4" width="13.08984375" bestFit="1" customWidth="1"/>
    <col min="6" max="6" width="13" bestFit="1" customWidth="1"/>
    <col min="8" max="8" width="13.453125" bestFit="1" customWidth="1"/>
    <col min="9" max="9" width="19.36328125" bestFit="1" customWidth="1"/>
  </cols>
  <sheetData>
    <row r="1" spans="1:9" x14ac:dyDescent="0.35">
      <c r="A1" s="3" t="s">
        <v>20</v>
      </c>
      <c r="B1" s="3" t="s">
        <v>21</v>
      </c>
      <c r="C1" s="3" t="s">
        <v>29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27</v>
      </c>
      <c r="I1" s="5" t="s">
        <v>28</v>
      </c>
    </row>
    <row r="2" spans="1:9" x14ac:dyDescent="0.35">
      <c r="A2" s="1" t="s">
        <v>4</v>
      </c>
      <c r="B2" s="1" t="s">
        <v>5</v>
      </c>
      <c r="C2" s="1" t="s">
        <v>30</v>
      </c>
      <c r="D2" s="4">
        <v>1000</v>
      </c>
      <c r="E2" s="2">
        <f t="shared" ref="E2:E11" si="0">+D2/$D$12</f>
        <v>0.14841199168892846</v>
      </c>
      <c r="F2" s="4">
        <v>1009.89</v>
      </c>
      <c r="G2" s="2">
        <f>+F2/$F$12</f>
        <v>0.15305097152487199</v>
      </c>
      <c r="H2" s="2">
        <f>+(F2-D2)/D2</f>
        <v>9.8899999999999856E-3</v>
      </c>
      <c r="I2" s="7">
        <f>+F2-D2</f>
        <v>9.8899999999999864</v>
      </c>
    </row>
    <row r="3" spans="1:9" x14ac:dyDescent="0.35">
      <c r="A3" s="1" t="s">
        <v>2</v>
      </c>
      <c r="B3" s="1" t="s">
        <v>3</v>
      </c>
      <c r="C3" s="1" t="s">
        <v>31</v>
      </c>
      <c r="D3" s="4">
        <v>1000</v>
      </c>
      <c r="E3" s="2">
        <f t="shared" si="0"/>
        <v>0.14841199168892846</v>
      </c>
      <c r="F3" s="4">
        <v>1008.75</v>
      </c>
      <c r="G3" s="2">
        <f t="shared" ref="G3:G11" si="1">+F3/$F$12</f>
        <v>0.15287820210687761</v>
      </c>
      <c r="H3" s="2">
        <f t="shared" ref="H3:H11" si="2">+(F3-D3)/D3</f>
        <v>8.7500000000000008E-3</v>
      </c>
      <c r="I3" s="7">
        <f t="shared" ref="I3:I12" si="3">+F3-D3</f>
        <v>8.75</v>
      </c>
    </row>
    <row r="4" spans="1:9" x14ac:dyDescent="0.35">
      <c r="A4" s="1" t="s">
        <v>0</v>
      </c>
      <c r="B4" s="1" t="s">
        <v>1</v>
      </c>
      <c r="C4" s="1" t="s">
        <v>31</v>
      </c>
      <c r="D4" s="4">
        <v>1000</v>
      </c>
      <c r="E4" s="2">
        <f t="shared" si="0"/>
        <v>0.14841199168892846</v>
      </c>
      <c r="F4" s="4">
        <v>1006.48</v>
      </c>
      <c r="G4" s="2">
        <f t="shared" si="1"/>
        <v>0.1525341787920993</v>
      </c>
      <c r="H4" s="2">
        <f t="shared" si="2"/>
        <v>6.4800000000000179E-3</v>
      </c>
      <c r="I4" s="7">
        <f t="shared" si="3"/>
        <v>6.4800000000000182</v>
      </c>
    </row>
    <row r="5" spans="1:9" x14ac:dyDescent="0.35">
      <c r="A5" s="1" t="s">
        <v>8</v>
      </c>
      <c r="B5" s="1" t="s">
        <v>9</v>
      </c>
      <c r="C5" s="1" t="s">
        <v>32</v>
      </c>
      <c r="D5" s="4">
        <v>1000</v>
      </c>
      <c r="E5" s="2">
        <f t="shared" si="0"/>
        <v>0.14841199168892846</v>
      </c>
      <c r="F5" s="4">
        <v>1002.81</v>
      </c>
      <c r="G5" s="2">
        <f t="shared" si="1"/>
        <v>0.15197798250785419</v>
      </c>
      <c r="H5" s="2">
        <f t="shared" si="2"/>
        <v>2.8099999999999454E-3</v>
      </c>
      <c r="I5" s="7">
        <f t="shared" si="3"/>
        <v>2.8099999999999454</v>
      </c>
    </row>
    <row r="6" spans="1:9" x14ac:dyDescent="0.35">
      <c r="A6" s="1" t="s">
        <v>10</v>
      </c>
      <c r="B6" s="1" t="s">
        <v>11</v>
      </c>
      <c r="C6" s="1" t="s">
        <v>32</v>
      </c>
      <c r="D6" s="4">
        <v>900</v>
      </c>
      <c r="E6" s="2">
        <f t="shared" si="0"/>
        <v>0.13357079252003562</v>
      </c>
      <c r="F6" s="4">
        <v>892.97</v>
      </c>
      <c r="G6" s="2">
        <f t="shared" si="1"/>
        <v>0.13533149753197374</v>
      </c>
      <c r="H6" s="2">
        <f t="shared" si="2"/>
        <v>-7.8111111111110812E-3</v>
      </c>
      <c r="I6" s="7">
        <f t="shared" si="3"/>
        <v>-7.0299999999999727</v>
      </c>
    </row>
    <row r="7" spans="1:9" x14ac:dyDescent="0.35">
      <c r="A7" s="1" t="s">
        <v>6</v>
      </c>
      <c r="B7" s="1" t="s">
        <v>7</v>
      </c>
      <c r="C7" s="1" t="s">
        <v>32</v>
      </c>
      <c r="D7" s="4">
        <v>500</v>
      </c>
      <c r="E7" s="2">
        <f t="shared" si="0"/>
        <v>7.4205995844464231E-2</v>
      </c>
      <c r="F7" s="4">
        <v>498.73</v>
      </c>
      <c r="G7" s="2">
        <f t="shared" si="1"/>
        <v>7.5583589330124476E-2</v>
      </c>
      <c r="H7" s="2">
        <f t="shared" si="2"/>
        <v>-2.5399999999999637E-3</v>
      </c>
      <c r="I7" s="7">
        <f t="shared" si="3"/>
        <v>-1.2699999999999818</v>
      </c>
    </row>
    <row r="8" spans="1:9" x14ac:dyDescent="0.35">
      <c r="A8" s="1" t="s">
        <v>12</v>
      </c>
      <c r="B8" s="1" t="s">
        <v>13</v>
      </c>
      <c r="C8" s="1" t="s">
        <v>33</v>
      </c>
      <c r="D8" s="4">
        <v>450</v>
      </c>
      <c r="E8" s="2">
        <f t="shared" si="0"/>
        <v>6.678539626001781E-2</v>
      </c>
      <c r="F8" s="4">
        <v>438.42</v>
      </c>
      <c r="G8" s="2">
        <f t="shared" si="1"/>
        <v>6.6443480909737077E-2</v>
      </c>
      <c r="H8" s="2">
        <f t="shared" si="2"/>
        <v>-2.5733333333333299E-2</v>
      </c>
      <c r="I8" s="7">
        <f t="shared" si="3"/>
        <v>-11.579999999999984</v>
      </c>
    </row>
    <row r="9" spans="1:9" x14ac:dyDescent="0.35">
      <c r="A9" s="1" t="s">
        <v>14</v>
      </c>
      <c r="B9" s="1" t="s">
        <v>15</v>
      </c>
      <c r="C9" s="1" t="s">
        <v>55</v>
      </c>
      <c r="D9" s="4">
        <v>250</v>
      </c>
      <c r="E9" s="2">
        <f t="shared" si="0"/>
        <v>3.7102997922232116E-2</v>
      </c>
      <c r="F9" s="4">
        <v>249.24</v>
      </c>
      <c r="G9" s="2">
        <f t="shared" si="1"/>
        <v>3.7772850649931279E-2</v>
      </c>
      <c r="H9" s="2">
        <f t="shared" si="2"/>
        <v>-3.0399999999999637E-3</v>
      </c>
      <c r="I9" s="7">
        <f t="shared" si="3"/>
        <v>-0.75999999999999091</v>
      </c>
    </row>
    <row r="10" spans="1:9" x14ac:dyDescent="0.35">
      <c r="A10" s="1" t="s">
        <v>16</v>
      </c>
      <c r="B10" s="1" t="s">
        <v>17</v>
      </c>
      <c r="C10" s="1" t="s">
        <v>34</v>
      </c>
      <c r="D10" s="4">
        <v>250</v>
      </c>
      <c r="E10" s="2">
        <f t="shared" si="0"/>
        <v>3.7102997922232116E-2</v>
      </c>
      <c r="F10" s="4">
        <v>248.1</v>
      </c>
      <c r="G10" s="2">
        <f t="shared" si="1"/>
        <v>3.7600081231936887E-2</v>
      </c>
      <c r="H10" s="2">
        <f t="shared" si="2"/>
        <v>-7.6000000000000225E-3</v>
      </c>
      <c r="I10" s="7">
        <f t="shared" si="3"/>
        <v>-1.9000000000000057</v>
      </c>
    </row>
    <row r="11" spans="1:9" x14ac:dyDescent="0.35">
      <c r="A11" s="1" t="s">
        <v>65</v>
      </c>
      <c r="B11" s="1" t="s">
        <v>66</v>
      </c>
      <c r="C11" s="1" t="s">
        <v>64</v>
      </c>
      <c r="D11" s="4">
        <f>+F11+145</f>
        <v>388</v>
      </c>
      <c r="E11" s="2">
        <f t="shared" si="0"/>
        <v>5.7583852775304242E-2</v>
      </c>
      <c r="F11" s="4">
        <v>243</v>
      </c>
      <c r="G11" s="2">
        <f t="shared" si="1"/>
        <v>3.6827165414593563E-2</v>
      </c>
      <c r="H11" s="2">
        <f t="shared" si="2"/>
        <v>-0.37371134020618557</v>
      </c>
      <c r="I11" s="7">
        <f t="shared" si="3"/>
        <v>-145</v>
      </c>
    </row>
    <row r="12" spans="1:9" x14ac:dyDescent="0.35">
      <c r="A12" s="1" t="s">
        <v>26</v>
      </c>
      <c r="B12" s="1"/>
      <c r="C12" s="1"/>
      <c r="D12" s="4">
        <f>+SUM(D2:D11)</f>
        <v>6738</v>
      </c>
      <c r="E12" s="1"/>
      <c r="F12" s="4">
        <f>+SUM(F2:F11)</f>
        <v>6598.3899999999994</v>
      </c>
      <c r="G12" s="1"/>
      <c r="H12" s="2">
        <f>+(F12-D12)/D12</f>
        <v>-2.071979815969139E-2</v>
      </c>
      <c r="I12" s="7">
        <f t="shared" si="3"/>
        <v>-139.61000000000058</v>
      </c>
    </row>
  </sheetData>
  <conditionalFormatting sqref="H1:I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5CEF-930B-4212-894F-29E2318395E6}">
  <dimension ref="A1:E17"/>
  <sheetViews>
    <sheetView workbookViewId="0">
      <selection activeCell="B36" sqref="B36"/>
    </sheetView>
  </sheetViews>
  <sheetFormatPr baseColWidth="10" defaultRowHeight="14.5" x14ac:dyDescent="0.35"/>
  <cols>
    <col min="1" max="1" width="61.36328125" bestFit="1" customWidth="1"/>
    <col min="2" max="2" width="13.1796875" bestFit="1" customWidth="1"/>
    <col min="3" max="3" width="23.08984375" bestFit="1" customWidth="1"/>
    <col min="4" max="4" width="13.453125" bestFit="1" customWidth="1"/>
    <col min="5" max="5" width="10.36328125" bestFit="1" customWidth="1"/>
  </cols>
  <sheetData>
    <row r="1" spans="1:5" x14ac:dyDescent="0.35">
      <c r="A1" s="3" t="s">
        <v>20</v>
      </c>
      <c r="B1" s="3" t="s">
        <v>21</v>
      </c>
      <c r="C1" s="3" t="s">
        <v>29</v>
      </c>
      <c r="D1" s="3" t="s">
        <v>47</v>
      </c>
      <c r="E1" s="3" t="s">
        <v>48</v>
      </c>
    </row>
    <row r="2" spans="1:5" x14ac:dyDescent="0.35">
      <c r="A2" s="1" t="s">
        <v>4</v>
      </c>
      <c r="B2" s="1" t="s">
        <v>5</v>
      </c>
      <c r="C2" s="1" t="s">
        <v>30</v>
      </c>
      <c r="D2" s="4">
        <f t="shared" ref="D2:D15" si="0">+E2*$D$17</f>
        <v>1200</v>
      </c>
      <c r="E2" s="2">
        <v>0.12</v>
      </c>
    </row>
    <row r="3" spans="1:5" x14ac:dyDescent="0.35">
      <c r="A3" s="1" t="s">
        <v>2</v>
      </c>
      <c r="B3" s="1" t="s">
        <v>3</v>
      </c>
      <c r="C3" s="1" t="s">
        <v>31</v>
      </c>
      <c r="D3" s="4">
        <f t="shared" si="0"/>
        <v>1200</v>
      </c>
      <c r="E3" s="2">
        <v>0.12</v>
      </c>
    </row>
    <row r="4" spans="1:5" x14ac:dyDescent="0.35">
      <c r="A4" s="1" t="s">
        <v>0</v>
      </c>
      <c r="B4" s="1" t="s">
        <v>1</v>
      </c>
      <c r="C4" s="1" t="s">
        <v>31</v>
      </c>
      <c r="D4" s="4">
        <f t="shared" si="0"/>
        <v>1200</v>
      </c>
      <c r="E4" s="2">
        <v>0.12</v>
      </c>
    </row>
    <row r="5" spans="1:5" x14ac:dyDescent="0.35">
      <c r="A5" s="1" t="s">
        <v>8</v>
      </c>
      <c r="B5" s="1" t="s">
        <v>9</v>
      </c>
      <c r="C5" s="1" t="s">
        <v>32</v>
      </c>
      <c r="D5" s="4">
        <f t="shared" si="0"/>
        <v>1200</v>
      </c>
      <c r="E5" s="2">
        <v>0.12</v>
      </c>
    </row>
    <row r="6" spans="1:5" x14ac:dyDescent="0.35">
      <c r="A6" s="1" t="s">
        <v>10</v>
      </c>
      <c r="B6" s="1" t="s">
        <v>11</v>
      </c>
      <c r="C6" s="1" t="s">
        <v>32</v>
      </c>
      <c r="D6" s="4">
        <f t="shared" si="0"/>
        <v>1000</v>
      </c>
      <c r="E6" s="2">
        <v>0.1</v>
      </c>
    </row>
    <row r="7" spans="1:5" x14ac:dyDescent="0.35">
      <c r="A7" s="1" t="s">
        <v>6</v>
      </c>
      <c r="B7" s="1" t="s">
        <v>7</v>
      </c>
      <c r="C7" s="1" t="s">
        <v>32</v>
      </c>
      <c r="D7" s="4">
        <f t="shared" si="0"/>
        <v>1200</v>
      </c>
      <c r="E7" s="2">
        <v>0.12</v>
      </c>
    </row>
    <row r="8" spans="1:5" x14ac:dyDescent="0.35">
      <c r="A8" s="1" t="s">
        <v>12</v>
      </c>
      <c r="B8" s="1" t="s">
        <v>13</v>
      </c>
      <c r="C8" s="1" t="s">
        <v>33</v>
      </c>
      <c r="D8" s="4">
        <f t="shared" si="0"/>
        <v>500</v>
      </c>
      <c r="E8" s="2">
        <v>0.05</v>
      </c>
    </row>
    <row r="9" spans="1:5" x14ac:dyDescent="0.35">
      <c r="A9" s="1" t="s">
        <v>14</v>
      </c>
      <c r="B9" s="1" t="s">
        <v>15</v>
      </c>
      <c r="C9" s="1" t="s">
        <v>55</v>
      </c>
      <c r="D9" s="4">
        <f t="shared" si="0"/>
        <v>250</v>
      </c>
      <c r="E9" s="2">
        <v>2.5000000000000001E-2</v>
      </c>
    </row>
    <row r="10" spans="1:5" x14ac:dyDescent="0.35">
      <c r="A10" s="1" t="s">
        <v>16</v>
      </c>
      <c r="B10" s="1" t="s">
        <v>17</v>
      </c>
      <c r="C10" s="1" t="s">
        <v>34</v>
      </c>
      <c r="D10" s="4">
        <f t="shared" si="0"/>
        <v>250</v>
      </c>
      <c r="E10" s="2">
        <v>2.5000000000000001E-2</v>
      </c>
    </row>
    <row r="11" spans="1:5" x14ac:dyDescent="0.35">
      <c r="A11" s="1" t="s">
        <v>18</v>
      </c>
      <c r="B11" s="1" t="s">
        <v>19</v>
      </c>
      <c r="C11" s="1" t="s">
        <v>35</v>
      </c>
      <c r="D11" s="4">
        <f t="shared" si="0"/>
        <v>400</v>
      </c>
      <c r="E11" s="2">
        <v>0.04</v>
      </c>
    </row>
    <row r="12" spans="1:5" x14ac:dyDescent="0.35">
      <c r="A12" s="1" t="s">
        <v>49</v>
      </c>
      <c r="B12" t="s">
        <v>50</v>
      </c>
      <c r="C12" s="1" t="s">
        <v>36</v>
      </c>
      <c r="D12" s="4">
        <f t="shared" si="0"/>
        <v>500</v>
      </c>
      <c r="E12" s="2">
        <v>0.05</v>
      </c>
    </row>
    <row r="13" spans="1:5" x14ac:dyDescent="0.35">
      <c r="A13" s="1" t="s">
        <v>52</v>
      </c>
      <c r="B13" s="1" t="s">
        <v>51</v>
      </c>
      <c r="C13" s="1" t="s">
        <v>37</v>
      </c>
      <c r="D13" s="4">
        <f t="shared" si="0"/>
        <v>450</v>
      </c>
      <c r="E13" s="2">
        <v>4.4999999999999998E-2</v>
      </c>
    </row>
    <row r="14" spans="1:5" x14ac:dyDescent="0.35">
      <c r="A14" s="1" t="s">
        <v>53</v>
      </c>
      <c r="B14" t="s">
        <v>54</v>
      </c>
      <c r="C14" s="1" t="s">
        <v>40</v>
      </c>
      <c r="D14" s="4">
        <f t="shared" si="0"/>
        <v>350.00000000000006</v>
      </c>
      <c r="E14" s="2">
        <v>3.5000000000000003E-2</v>
      </c>
    </row>
    <row r="15" spans="1:5" x14ac:dyDescent="0.35">
      <c r="A15" s="1" t="s">
        <v>38</v>
      </c>
      <c r="B15" t="s">
        <v>39</v>
      </c>
      <c r="C15" s="1" t="s">
        <v>41</v>
      </c>
      <c r="D15" s="4">
        <f t="shared" si="0"/>
        <v>200</v>
      </c>
      <c r="E15" s="2">
        <v>0.02</v>
      </c>
    </row>
    <row r="16" spans="1:5" x14ac:dyDescent="0.35">
      <c r="A16" s="1" t="s">
        <v>65</v>
      </c>
      <c r="B16" s="1" t="s">
        <v>66</v>
      </c>
      <c r="C16" s="1" t="s">
        <v>64</v>
      </c>
      <c r="D16" s="4">
        <v>200</v>
      </c>
      <c r="E16" s="2">
        <v>0.01</v>
      </c>
    </row>
    <row r="17" spans="1:5" x14ac:dyDescent="0.35">
      <c r="A17" s="1" t="s">
        <v>26</v>
      </c>
      <c r="B17" s="1"/>
      <c r="C17" s="1"/>
      <c r="D17" s="4">
        <v>10000</v>
      </c>
      <c r="E17" s="8">
        <f>+SUM(E2:E16)</f>
        <v>1.0000000000000002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D12D-E0A8-4BAD-B876-937468D9E793}">
  <dimension ref="A1:B6"/>
  <sheetViews>
    <sheetView workbookViewId="0">
      <selection activeCell="B3" sqref="B3"/>
    </sheetView>
  </sheetViews>
  <sheetFormatPr baseColWidth="10" defaultRowHeight="14.5" x14ac:dyDescent="0.35"/>
  <cols>
    <col min="1" max="1" width="17.08984375" bestFit="1" customWidth="1"/>
    <col min="2" max="2" width="11.81640625" bestFit="1" customWidth="1"/>
  </cols>
  <sheetData>
    <row r="1" spans="1:2" x14ac:dyDescent="0.35">
      <c r="A1" s="1" t="s">
        <v>46</v>
      </c>
      <c r="B1" s="1" t="s">
        <v>47</v>
      </c>
    </row>
    <row r="2" spans="1:2" x14ac:dyDescent="0.35">
      <c r="A2" s="1" t="s">
        <v>42</v>
      </c>
      <c r="B2" s="6">
        <f>7528+19</f>
        <v>7547</v>
      </c>
    </row>
    <row r="3" spans="1:2" x14ac:dyDescent="0.35">
      <c r="A3" s="1" t="s">
        <v>43</v>
      </c>
      <c r="B3" s="6">
        <v>26</v>
      </c>
    </row>
    <row r="4" spans="1:2" x14ac:dyDescent="0.35">
      <c r="A4" s="1" t="s">
        <v>44</v>
      </c>
      <c r="B4" s="6">
        <v>2013</v>
      </c>
    </row>
    <row r="5" spans="1:2" x14ac:dyDescent="0.35">
      <c r="A5" s="1" t="s">
        <v>45</v>
      </c>
      <c r="B5" s="6">
        <f>+'informe cartera'!F12</f>
        <v>6598.3899999999994</v>
      </c>
    </row>
    <row r="6" spans="1:2" x14ac:dyDescent="0.35">
      <c r="A6" s="9" t="s">
        <v>26</v>
      </c>
      <c r="B6" s="6">
        <f>+SUM(B2:B5)</f>
        <v>16184.39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A400-DBA0-4F9C-AFEF-7B21CD1EF8FA}">
  <dimension ref="A1:E5"/>
  <sheetViews>
    <sheetView tabSelected="1" workbookViewId="0">
      <selection activeCell="D8" sqref="D8"/>
    </sheetView>
  </sheetViews>
  <sheetFormatPr baseColWidth="10" defaultRowHeight="14.5" x14ac:dyDescent="0.35"/>
  <cols>
    <col min="1" max="1" width="18.36328125" bestFit="1" customWidth="1"/>
    <col min="2" max="2" width="16.90625" bestFit="1" customWidth="1"/>
    <col min="3" max="3" width="15.54296875" bestFit="1" customWidth="1"/>
    <col min="4" max="4" width="19.36328125" bestFit="1" customWidth="1"/>
    <col min="5" max="5" width="9.36328125" customWidth="1"/>
  </cols>
  <sheetData>
    <row r="1" spans="1:5" x14ac:dyDescent="0.35">
      <c r="A1" s="1" t="s">
        <v>56</v>
      </c>
      <c r="B1" s="1" t="s">
        <v>47</v>
      </c>
      <c r="D1" s="1" t="s">
        <v>57</v>
      </c>
      <c r="E1" s="1" t="s">
        <v>47</v>
      </c>
    </row>
    <row r="2" spans="1:5" x14ac:dyDescent="0.35">
      <c r="A2" s="1" t="s">
        <v>58</v>
      </c>
      <c r="B2" s="1">
        <v>1927</v>
      </c>
      <c r="D2" s="1" t="s">
        <v>61</v>
      </c>
      <c r="E2" s="1">
        <v>500</v>
      </c>
    </row>
    <row r="3" spans="1:5" x14ac:dyDescent="0.35">
      <c r="A3" s="1" t="s">
        <v>59</v>
      </c>
      <c r="B3" s="1">
        <v>2066</v>
      </c>
      <c r="D3" s="1" t="s">
        <v>62</v>
      </c>
      <c r="E3" s="1">
        <v>618</v>
      </c>
    </row>
    <row r="4" spans="1:5" ht="15" thickBot="1" x14ac:dyDescent="0.4">
      <c r="A4" s="1" t="s">
        <v>60</v>
      </c>
      <c r="B4" s="1">
        <v>2066</v>
      </c>
      <c r="D4" s="10" t="s">
        <v>63</v>
      </c>
      <c r="E4" s="10">
        <v>232</v>
      </c>
    </row>
    <row r="5" spans="1:5" ht="15" thickBot="1" x14ac:dyDescent="0.4">
      <c r="D5" s="11" t="s">
        <v>67</v>
      </c>
      <c r="E5" s="1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cartera</vt:lpstr>
      <vt:lpstr>Cartera objetivo</vt:lpstr>
      <vt:lpstr>Patrimonio actual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Alba Merida</dc:creator>
  <cp:lastModifiedBy>Antonio Alba Mérida</cp:lastModifiedBy>
  <dcterms:created xsi:type="dcterms:W3CDTF">2026-03-26T12:43:24Z</dcterms:created>
  <dcterms:modified xsi:type="dcterms:W3CDTF">2026-03-26T19:07:43Z</dcterms:modified>
</cp:coreProperties>
</file>