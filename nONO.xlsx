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29B41974-E766-480E-822C-DF56B30DED5F}" xr6:coauthVersionLast="47" xr6:coauthVersionMax="47" xr10:uidLastSave="{00000000-0000-0000-0000-000000000000}"/>
  <bookViews>
    <workbookView xWindow="-110" yWindow="-110" windowWidth="19420" windowHeight="10300" activeTab="1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H11" i="1"/>
  <c r="I11" i="1"/>
  <c r="F12" i="1"/>
  <c r="G3" i="1" s="1"/>
  <c r="E6" i="4"/>
  <c r="G10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1" i="1" l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<sst xmlns="http://schemas.openxmlformats.org/spreadsheetml/2006/main" count="108" uniqueCount="67">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</sst>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workbookViewId="0">
      <selection activeCell="B11" sqref="B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0.15267175572519084</v>
      </c>
      <c r="F2" s="4">
        <v>1009.89</v>
      </c>
      <c r="G2" s="2">
        <f>+F2/$F$12</f>
        <v>0.15523896338267193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0.15267175572519084</v>
      </c>
      <c r="F3" s="4">
        <v>1008.75</v>
      </c>
      <c r="G3" s="2">
        <f t="shared" ref="G3:G11" si="1">+F3/$F$12</f>
        <v>0.15506372408110813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0.15267175572519084</v>
      </c>
      <c r="F4" s="4">
        <v>1006.48</v>
      </c>
      <c r="G4" s="2">
        <f t="shared" si="1"/>
        <v>0.1547147826648364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0.15267175572519084</v>
      </c>
      <c r="F5" s="4">
        <v>1002.81</v>
      </c>
      <c r="G5" s="2">
        <f t="shared" si="1"/>
        <v>0.15415063508874949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0.13740458015267176</v>
      </c>
      <c r="F6" s="4">
        <v>892.97</v>
      </c>
      <c r="G6" s="2">
        <f t="shared" si="1"/>
        <v>0.1372661746643937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7.6335877862595422E-2</v>
      </c>
      <c r="F7" s="4">
        <v>498.73</v>
      </c>
      <c r="G7" s="2">
        <f t="shared" si="1"/>
        <v>7.6664120060442195E-2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6.8702290076335881E-2</v>
      </c>
      <c r="F8" s="4">
        <v>438.42</v>
      </c>
      <c r="G8" s="2">
        <f t="shared" si="1"/>
        <v>6.7393346132975901E-2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3.8167938931297711E-2</v>
      </c>
      <c r="F9" s="4">
        <v>249.24</v>
      </c>
      <c r="G9" s="2">
        <f t="shared" si="1"/>
        <v>3.8312845194523312E-2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3.8167938931297711E-2</v>
      </c>
      <c r="F10" s="4">
        <v>248.1</v>
      </c>
      <c r="G10" s="2">
        <f t="shared" si="1"/>
        <v>3.8137605892959531E-2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 t="s">
        <v>66</v>
      </c>
      <c r="C11" s="1" t="s">
        <v>64</v>
      </c>
      <c r="D11" s="4">
        <v>200</v>
      </c>
      <c r="E11" s="2">
        <f t="shared" si="0"/>
        <v>3.0534351145038167E-2</v>
      </c>
      <c r="F11" s="4">
        <v>150</v>
      </c>
      <c r="G11" s="2">
        <f t="shared" si="1"/>
        <v>2.3057802837339502E-2</v>
      </c>
      <c r="H11" s="2">
        <f t="shared" si="2"/>
        <v>-0.25</v>
      </c>
      <c r="I11" s="7">
        <f t="shared" si="3"/>
        <v>-50</v>
      </c>
    </row>
    <row r="12" spans="1:9" x14ac:dyDescent="0.35">
      <c r="A12" s="1" t="s">
        <v>26</v>
      </c>
      <c r="B12" s="1"/>
      <c r="C12" s="1"/>
      <c r="D12" s="4">
        <f>+SUM(D2:D11)</f>
        <v>6550</v>
      </c>
      <c r="E12" s="1"/>
      <c r="F12" s="4">
        <f>+SUM(F2:F11)</f>
        <v>6505.3899999999994</v>
      </c>
      <c r="G12" s="1"/>
      <c r="H12" s="2">
        <f>+(F12-D12)/D12</f>
        <v>-6.8106870229008524E-3</v>
      </c>
      <c r="I12" s="7">
        <f t="shared" si="3"/>
        <v>-44.610000000000582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tabSelected="1" workbookViewId="0">
      <selection activeCell="B16" sqref="B16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D10" sqref="D10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v>7000</v>
      </c>
    </row>
    <row r="3" spans="1:2" x14ac:dyDescent="0.35">
      <c r="A3" s="1" t="s">
        <v>43</v>
      </c>
      <c r="B3" s="6">
        <v>50</v>
      </c>
    </row>
    <row r="4" spans="1:2" x14ac:dyDescent="0.35">
      <c r="A4" s="1" t="s">
        <v>44</v>
      </c>
      <c r="B4" s="6">
        <v>2000</v>
      </c>
    </row>
    <row r="5" spans="1:2" x14ac:dyDescent="0.35">
      <c r="A5" s="1" t="s">
        <v>45</v>
      </c>
      <c r="B5" s="6">
        <f>+'informe cartera'!F12</f>
        <v>6505.3899999999994</v>
      </c>
    </row>
    <row r="6" spans="1:2" x14ac:dyDescent="0.35">
      <c r="A6" s="9" t="s">
        <v>26</v>
      </c>
      <c r="B6" s="6">
        <f>+SUM(B2:B5)</f>
        <v>15555.39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6"/>
  <sheetViews>
    <sheetView workbookViewId="0">
      <selection activeCell="N11" sqref="N11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  <row r="6" spans="1:5" x14ac:dyDescent="0.35">
      <c r="E6">
        <f>+B2-E2-E3-E4</f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2026-03-26T17:28:37Z</dcterms:modified>
</cp:coreProperties>
</file>