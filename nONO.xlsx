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114A6EAC-1CBE-482A-AE16-E16967379143}" xr6:coauthVersionLast="47" xr6:coauthVersionMax="47" xr10:uidLastSave="{00000000-0000-0000-0000-000000000000}"/>
  <bookViews>
    <workbookView xWindow="28680" yWindow="-120" windowWidth="29040" windowHeight="15720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  <c r="E1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F12" i="1"/>
  <c r="I12" i="1" s="1"/>
  <c r="D12" i="1"/>
  <c r="E4" i="1" s="1"/>
  <c r="B5" i="3" l="1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<sst xmlns="http://schemas.openxmlformats.org/spreadsheetml/2006/main" count="102" uniqueCount="64">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</sst>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tabSelected="1" workbookViewId="0">
      <selection activeCell="G16" sqref="G16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0" si="0">+D2/$D$12</f>
        <v>0.15748031496062992</v>
      </c>
      <c r="F2" s="4">
        <v>1009.89</v>
      </c>
      <c r="G2" s="2">
        <f>+F2/$F$12</f>
        <v>0.15890291547804306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0.15748031496062992</v>
      </c>
      <c r="F3" s="4">
        <v>1008.75</v>
      </c>
      <c r="G3" s="2">
        <f t="shared" ref="G3:G10" si="1">+F3/$F$12</f>
        <v>0.15872354017613396</v>
      </c>
      <c r="H3" s="2">
        <f t="shared" ref="H3:H10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0.15748031496062992</v>
      </c>
      <c r="F4" s="4">
        <v>1006.48</v>
      </c>
      <c r="G4" s="2">
        <f t="shared" si="1"/>
        <v>0.15836636303987642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0.15748031496062992</v>
      </c>
      <c r="F5" s="4">
        <v>1002.81</v>
      </c>
      <c r="G5" s="2">
        <f t="shared" si="1"/>
        <v>0.15778890044513397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0.14173228346456693</v>
      </c>
      <c r="F6" s="4">
        <v>892.97</v>
      </c>
      <c r="G6" s="2">
        <f t="shared" si="1"/>
        <v>0.14050593275943729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7.874015748031496E-2</v>
      </c>
      <c r="F7" s="4">
        <v>498.73</v>
      </c>
      <c r="G7" s="2">
        <f t="shared" si="1"/>
        <v>7.8473547650104877E-2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7.0866141732283464E-2</v>
      </c>
      <c r="F8" s="4">
        <v>438.42</v>
      </c>
      <c r="G8" s="2">
        <f t="shared" si="1"/>
        <v>6.8983964792089875E-2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3.937007874015748E-2</v>
      </c>
      <c r="F9" s="4">
        <v>249.24</v>
      </c>
      <c r="G9" s="2">
        <f t="shared" si="1"/>
        <v>3.9217105480544863E-2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3.937007874015748E-2</v>
      </c>
      <c r="F10" s="4">
        <v>248.1</v>
      </c>
      <c r="G10" s="2">
        <f t="shared" si="1"/>
        <v>3.9037730178635772E-2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/>
      <c r="B11" s="1"/>
      <c r="C11" s="1"/>
      <c r="D11" s="4"/>
      <c r="E11" s="2"/>
      <c r="F11" s="4"/>
      <c r="G11" s="2"/>
      <c r="H11" s="2"/>
      <c r="I11" s="7"/>
    </row>
    <row r="12" spans="1:9" x14ac:dyDescent="0.35">
      <c r="A12" s="1" t="s">
        <v>26</v>
      </c>
      <c r="B12" s="1"/>
      <c r="C12" s="1"/>
      <c r="D12" s="4">
        <f>+SUM(D2:D11)</f>
        <v>6350</v>
      </c>
      <c r="E12" s="1"/>
      <c r="F12" s="4">
        <f>+SUM(F2:F11)</f>
        <v>6355.3899999999994</v>
      </c>
      <c r="G12" s="1"/>
      <c r="H12" s="2">
        <f>+(F12-D12)/D12</f>
        <v>8.4881889763770363E-4</v>
      </c>
      <c r="I12" s="7">
        <f t="shared" si="3"/>
        <v>5.3899999999994179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6"/>
  <sheetViews>
    <sheetView workbookViewId="0">
      <selection activeCell="C4" sqref="C4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>+E2*$D$16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 t="shared" ref="D3:D15" si="0">+E3*$D$16</f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 t="shared" si="0"/>
        <v>450</v>
      </c>
      <c r="E11" s="2">
        <v>4.4999999999999998E-2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 t="shared" si="0"/>
        <v>500</v>
      </c>
      <c r="E13" s="2">
        <v>0.05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5" x14ac:dyDescent="0.35">
      <c r="A16" s="1" t="s">
        <v>26</v>
      </c>
      <c r="B16" s="1"/>
      <c r="C16" s="1"/>
      <c r="D16" s="4">
        <v>10000</v>
      </c>
      <c r="E16" s="8">
        <f>+SUM(E2:E15)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D10" sqref="D10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v>7000</v>
      </c>
    </row>
    <row r="3" spans="1:2" x14ac:dyDescent="0.35">
      <c r="A3" s="1" t="s">
        <v>43</v>
      </c>
      <c r="B3" s="6">
        <v>50</v>
      </c>
    </row>
    <row r="4" spans="1:2" x14ac:dyDescent="0.35">
      <c r="A4" s="1" t="s">
        <v>44</v>
      </c>
      <c r="B4" s="6">
        <v>2000</v>
      </c>
    </row>
    <row r="5" spans="1:2" x14ac:dyDescent="0.35">
      <c r="A5" s="1" t="s">
        <v>45</v>
      </c>
      <c r="B5" s="6">
        <f>+'informe cartera'!F12</f>
        <v>6355.3899999999994</v>
      </c>
    </row>
    <row r="6" spans="1:2" x14ac:dyDescent="0.35">
      <c r="A6" s="9" t="s">
        <v>26</v>
      </c>
      <c r="B6" s="6">
        <f>+SUM(B2:B5)</f>
        <v>15405.39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4"/>
  <sheetViews>
    <sheetView workbookViewId="0">
      <selection activeCell="E3" sqref="E3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8.36328125" bestFit="1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x14ac:dyDescent="0.35">
      <c r="A4" s="1" t="s">
        <v>60</v>
      </c>
      <c r="B4" s="1">
        <v>2066</v>
      </c>
      <c r="D4" s="1" t="s">
        <v>63</v>
      </c>
      <c r="E4" s="1">
        <v>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2026-03-26T14:24:28Z</dcterms:modified>
</cp:coreProperties>
</file>